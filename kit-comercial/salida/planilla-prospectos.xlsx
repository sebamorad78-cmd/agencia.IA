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spectos" sheetId="2" state="visible" r:id="rId2"/>
    <sheet name="Listas" sheetId="3" state="hidden" r:id="rId3"/>
  </sheets>
  <definedNames>
    <definedName name="_xlnm._FilterDatabase" localSheetId="1" hidden="1">'Prospectos'!$A$4:$N$35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USD &quot;#,##0"/>
    <numFmt numFmtId="166" formatCode="0.0&quot; h&quot;"/>
  </numFmts>
  <fonts count="12">
    <font>
      <name val="Calibri"/>
      <family val="2"/>
      <color theme="1"/>
      <sz val="11"/>
      <scheme val="minor"/>
    </font>
    <font>
      <name val="Arial"/>
      <b val="1"/>
      <color rgb="00071A24"/>
      <sz val="14"/>
    </font>
    <font>
      <name val="Arial"/>
      <i val="1"/>
      <color rgb="005B6B73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5B6B73"/>
      <sz val="10"/>
    </font>
    <font>
      <name val="Arial"/>
      <i val="1"/>
      <color rgb="005B6B73"/>
      <sz val="10"/>
    </font>
    <font>
      <name val="Arial"/>
      <b val="1"/>
    </font>
    <font>
      <name val="Arial"/>
    </font>
    <font>
      <name val="Arial"/>
      <b val="1"/>
      <color rgb="00FFFFFF"/>
    </font>
    <font>
      <name val="Arial"/>
      <color rgb="005B6B73"/>
      <sz val="9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071A24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bottom style="thin">
        <color rgb="00DFD8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0" pivotButton="0" quotePrefix="0" xfId="0"/>
    <xf numFmtId="0" fontId="0" fillId="2" borderId="0" pivotButton="0" quotePrefix="0" xfId="0"/>
    <xf numFmtId="0" fontId="8" fillId="0" borderId="1" pivotButton="0" quotePrefix="0" xfId="0"/>
    <xf numFmtId="165" fontId="11" fillId="3" borderId="1" applyAlignment="1" pivotButton="0" quotePrefix="0" xfId="0">
      <alignment horizontal="right"/>
    </xf>
    <xf numFmtId="0" fontId="10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10">
    <dxf>
      <font>
        <name val="Arial"/>
        <b val="1"/>
        <color rgb="00071A24"/>
      </font>
      <fill>
        <patternFill patternType="solid">
          <fgColor rgb="00EEF1F2"/>
        </patternFill>
      </fill>
    </dxf>
    <dxf>
      <font>
        <name val="Arial"/>
        <b val="1"/>
        <color rgb="00071A24"/>
      </font>
      <fill>
        <patternFill patternType="solid">
          <fgColor rgb="00E3EEF6"/>
        </patternFill>
      </fill>
    </dxf>
    <dxf>
      <font>
        <name val="Arial"/>
        <b val="1"/>
        <color rgb="00071A24"/>
      </font>
      <fill>
        <patternFill patternType="solid">
          <fgColor rgb="00FCEBD7"/>
        </patternFill>
      </fill>
    </dxf>
    <dxf>
      <font>
        <name val="Arial"/>
        <b val="1"/>
        <color rgb="00071A24"/>
      </font>
      <fill>
        <patternFill patternType="solid">
          <fgColor rgb="00F9DDB9"/>
        </patternFill>
      </fill>
    </dxf>
    <dxf>
      <font>
        <name val="Arial"/>
        <b val="1"/>
        <color rgb="00071A24"/>
      </font>
      <fill>
        <patternFill patternType="solid">
          <fgColor rgb="00D9EFE9"/>
        </patternFill>
      </fill>
    </dxf>
    <dxf>
      <font>
        <name val="Arial"/>
        <b val="1"/>
        <color rgb="00071A24"/>
      </font>
      <fill>
        <patternFill patternType="solid">
          <fgColor rgb="00BFE6DD"/>
        </patternFill>
      </fill>
    </dxf>
    <dxf>
      <font>
        <name val="Arial"/>
        <b val="1"/>
        <color rgb="00071A24"/>
      </font>
      <fill>
        <patternFill patternType="solid">
          <fgColor rgb="00EDEDED"/>
        </patternFill>
      </fill>
    </dxf>
    <dxf>
      <font>
        <name val="Arial"/>
        <b val="1"/>
        <color rgb="00071A24"/>
      </font>
      <fill>
        <patternFill patternType="solid">
          <fgColor rgb="00F3DCDC"/>
        </patternFill>
      </fill>
    </dxf>
    <dxf>
      <font>
        <name val="Arial"/>
        <b val="1"/>
        <color rgb="009B1C1C"/>
      </font>
      <fill>
        <patternFill patternType="solid">
          <fgColor rgb="00F6CFCF"/>
        </patternFill>
      </fill>
    </dxf>
    <dxf>
      <font>
        <name val="Arial"/>
        <b val="1"/>
        <color rgb="00B8742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CFMTS Labs</author>
  </authors>
  <commentList>
    <comment ref="I4" authorId="0" shapeId="0">
      <text>
        <t>Escribile al hotel por WhatsApp después de las 22 como si fueras un huésped y anotá cuántas horas tardó en responder. 3 horas o más se marca en naranja.</t>
      </text>
    </comment>
    <comment ref="M4" authorId="0" shapeId="0">
      <text>
        <t>Si la fecha ya pasó y el hotel no es cliente ni está descartado, se marca en rojo.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</cols>
  <sheetData>
    <row r="1">
      <c r="A1" s="1" t="inlineStr">
        <is>
          <t>CFMTS Labs · Resumen comercial</t>
        </is>
      </c>
    </row>
    <row r="2">
      <c r="A2" s="2" t="inlineStr">
        <is>
          <t>Se actualiza solo a partir de la hoja Prospectos. Solo se editan las celdas amarillas.</t>
        </is>
      </c>
    </row>
    <row r="4">
      <c r="A4" s="3" t="inlineStr">
        <is>
          <t>Precios</t>
        </is>
      </c>
      <c r="B4" s="4" t="n"/>
      <c r="C4" s="4" t="n"/>
    </row>
    <row r="5">
      <c r="A5" s="5" t="inlineStr">
        <is>
          <t>Precio del piloto (USD)</t>
        </is>
      </c>
      <c r="B5" s="6" t="n">
        <v>150</v>
      </c>
      <c r="C5" s="7" t="inlineStr">
        <is>
          <t>Sugerido en el guion de venta. Cambialo si ajustás el precio.</t>
        </is>
      </c>
    </row>
    <row r="6">
      <c r="A6" s="5" t="inlineStr">
        <is>
          <t>Abono mensual (USD)</t>
        </is>
      </c>
      <c r="B6" s="6" t="n">
        <v>180</v>
      </c>
      <c r="C6" s="7" t="inlineStr">
        <is>
          <t>Sugerido en el guion de venta. Cambialo si ajustás el precio.</t>
        </is>
      </c>
    </row>
    <row r="8">
      <c r="A8" s="3" t="inlineStr">
        <is>
          <t>Embudo</t>
        </is>
      </c>
      <c r="B8" s="4" t="n"/>
      <c r="C8" s="4" t="n"/>
    </row>
    <row r="9">
      <c r="A9" s="8" t="inlineStr">
        <is>
          <t>Alojamientos cargados</t>
        </is>
      </c>
      <c r="B9" s="9">
        <f>COUNTA(Prospectos!B5:B35)</f>
        <v/>
      </c>
      <c r="C9" s="7" t="inlineStr">
        <is>
          <t>Incluye la fila de ejemplo hasta que la borres.</t>
        </is>
      </c>
    </row>
    <row r="10">
      <c r="A10" s="5" t="inlineStr">
        <is>
          <t>Por contactar</t>
        </is>
      </c>
      <c r="B10" s="10">
        <f>COUNTIF(Prospectos!J5:J35,"Por contactar")</f>
        <v/>
      </c>
      <c r="C10" s="7" t="n"/>
    </row>
    <row r="11">
      <c r="A11" s="5" t="inlineStr">
        <is>
          <t>Contactado</t>
        </is>
      </c>
      <c r="B11" s="10">
        <f>COUNTIF(Prospectos!J5:J35,"Contactado")</f>
        <v/>
      </c>
      <c r="C11" s="7" t="n"/>
    </row>
    <row r="12">
      <c r="A12" s="5" t="inlineStr">
        <is>
          <t>Reunión agendada</t>
        </is>
      </c>
      <c r="B12" s="10">
        <f>COUNTIF(Prospectos!J5:J35,"Reunión agendada")</f>
        <v/>
      </c>
      <c r="C12" s="7" t="n"/>
    </row>
    <row r="13">
      <c r="A13" s="5" t="inlineStr">
        <is>
          <t>Reunión hecha</t>
        </is>
      </c>
      <c r="B13" s="10">
        <f>COUNTIF(Prospectos!J5:J35,"Reunión hecha")</f>
        <v/>
      </c>
      <c r="C13" s="7" t="n"/>
    </row>
    <row r="14">
      <c r="A14" s="5" t="inlineStr">
        <is>
          <t>Piloto en curso</t>
        </is>
      </c>
      <c r="B14" s="10">
        <f>COUNTIF(Prospectos!J5:J35,"Piloto en curso")</f>
        <v/>
      </c>
      <c r="C14" s="7" t="n"/>
    </row>
    <row r="15">
      <c r="A15" s="5" t="inlineStr">
        <is>
          <t>Cliente (abono)</t>
        </is>
      </c>
      <c r="B15" s="10">
        <f>COUNTIF(Prospectos!J5:J35,"Cliente (abono)")</f>
        <v/>
      </c>
      <c r="C15" s="7" t="n"/>
    </row>
    <row r="16">
      <c r="A16" s="5" t="inlineStr">
        <is>
          <t>Más adelante</t>
        </is>
      </c>
      <c r="B16" s="10">
        <f>COUNTIF(Prospectos!J5:J35,"Más adelante")</f>
        <v/>
      </c>
      <c r="C16" s="7" t="n"/>
    </row>
    <row r="17">
      <c r="A17" s="5" t="inlineStr">
        <is>
          <t>Descartado</t>
        </is>
      </c>
      <c r="B17" s="10">
        <f>COUNTIF(Prospectos!J5:J35,"Descartado")</f>
        <v/>
      </c>
      <c r="C17" s="7" t="n"/>
    </row>
    <row r="19">
      <c r="A19" s="3" t="inlineStr">
        <is>
          <t>Indicadores</t>
        </is>
      </c>
      <c r="B19" s="4" t="n"/>
      <c r="C19" s="4" t="n"/>
    </row>
    <row r="20">
      <c r="A20" s="5" t="inlineStr">
        <is>
          <t>Reuniones hechas o más avanzadas</t>
        </is>
      </c>
      <c r="B20" s="10">
        <f>B13+B14+B15</f>
        <v/>
      </c>
      <c r="C20" s="7" t="inlineStr">
        <is>
          <t>Reunión hecha + piloto en curso + cliente.</t>
        </is>
      </c>
    </row>
    <row r="21">
      <c r="A21" s="5" t="inlineStr">
        <is>
          <t>Conversión de reunión a piloto</t>
        </is>
      </c>
      <c r="B21" s="11">
        <f>IF(B20=0,0,(B14+B15)/B20)</f>
        <v/>
      </c>
      <c r="C21" s="7" t="inlineStr">
        <is>
          <t>Pilotos y clientes sobre reuniones hechas.</t>
        </is>
      </c>
    </row>
    <row r="22">
      <c r="A22" s="5" t="inlineStr">
        <is>
          <t>Próximos pasos vencidos</t>
        </is>
      </c>
      <c r="B22" s="10">
        <f>SUMPRODUCT((Prospectos!M5:M35&lt;&gt;"")*(Prospectos!M5:M35&lt;TODAY())*(Prospectos!J5:J35&lt;&gt;"Cliente (abono)")*(Prospectos!J5:J35&lt;&gt;"Descartado"))</f>
        <v/>
      </c>
      <c r="C22" s="7" t="inlineStr">
        <is>
          <t>Si es mayor a cero, revisá las fechas en rojo en Prospectos.</t>
        </is>
      </c>
    </row>
    <row r="23">
      <c r="A23" s="5" t="inlineStr">
        <is>
          <t>Promedio de horas en responder (prueba nocturna)</t>
        </is>
      </c>
      <c r="B23" s="12">
        <f>IFERROR(AVERAGE(Prospectos!I5:I35),0)</f>
        <v/>
      </c>
      <c r="C23" s="7" t="inlineStr">
        <is>
          <t>Tu mejor argumento de venta: cuánto tardan hoy los hoteles.</t>
        </is>
      </c>
    </row>
    <row r="25">
      <c r="A25" s="3" t="inlineStr">
        <is>
          <t>Ingresos</t>
        </is>
      </c>
      <c r="B25" s="4" t="n"/>
      <c r="C25" s="4" t="n"/>
    </row>
    <row r="26">
      <c r="A26" s="5" t="inlineStr">
        <is>
          <t>Ingresos por pilotos en curso</t>
        </is>
      </c>
      <c r="B26" s="13">
        <f>B14*B5</f>
        <v/>
      </c>
      <c r="C26" s="7" t="inlineStr">
        <is>
          <t>Pilotos en curso × precio del piloto.</t>
        </is>
      </c>
    </row>
    <row r="27">
      <c r="A27" s="8" t="inlineStr">
        <is>
          <t>Ingreso mensual recurrente</t>
        </is>
      </c>
      <c r="B27" s="14">
        <f>B15*B6</f>
        <v/>
      </c>
      <c r="C27" s="7" t="inlineStr">
        <is>
          <t>Clientes con abono × abono mensual.</t>
        </is>
      </c>
    </row>
    <row r="28">
      <c r="A28" s="5" t="inlineStr">
        <is>
          <t>Ingreso anual recurrente</t>
        </is>
      </c>
      <c r="B28" s="13">
        <f>B27*12</f>
        <v/>
      </c>
      <c r="C28" s="7" t="inlineStr">
        <is>
          <t>Si todos los clientes actuales siguen 12 meses.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3" customWidth="1" min="5" max="5"/>
    <col width="22" customWidth="1" min="6" max="6"/>
    <col width="13" customWidth="1" min="7" max="7"/>
    <col width="20" customWidth="1" min="8" max="8"/>
    <col width="16" customWidth="1" min="9" max="9"/>
    <col width="19" customWidth="1" min="10" max="10"/>
    <col width="14" customWidth="1" min="11" max="11"/>
    <col width="32" customWidth="1" min="12" max="12"/>
    <col width="15" customWidth="1" min="13" max="13"/>
    <col width="46" customWidth="1" min="14" max="14"/>
  </cols>
  <sheetData>
    <row r="1">
      <c r="A1" s="1" t="inlineStr">
        <is>
          <t>CFMTS Labs · Prospectos de hotelería</t>
        </is>
      </c>
    </row>
    <row r="2">
      <c r="A2" s="2" t="inlineStr">
        <is>
          <t>Completá solo las celdas blancas. Tipo, zona, rol y estado se eligen de la lista desplegable. La fila 5 es un ejemplo: borrala cuando cargues el primer hotel.</t>
        </is>
      </c>
    </row>
    <row r="4" ht="34" customHeight="1">
      <c r="A4" s="15" t="inlineStr">
        <is>
          <t>#</t>
        </is>
      </c>
      <c r="B4" s="16" t="inlineStr">
        <is>
          <t>Alojamiento</t>
        </is>
      </c>
      <c r="C4" s="16" t="inlineStr">
        <is>
          <t>Tipo</t>
        </is>
      </c>
      <c r="D4" s="16" t="inlineStr">
        <is>
          <t>Zona</t>
        </is>
      </c>
      <c r="E4" s="15" t="inlineStr">
        <is>
          <t>Habitaciones</t>
        </is>
      </c>
      <c r="F4" s="16" t="inlineStr">
        <is>
          <t>Contacto</t>
        </is>
      </c>
      <c r="G4" s="16" t="inlineStr">
        <is>
          <t>Rol</t>
        </is>
      </c>
      <c r="H4" s="16" t="inlineStr">
        <is>
          <t>WhatsApp / teléfono</t>
        </is>
      </c>
      <c r="I4" s="15" t="inlineStr">
        <is>
          <t>Prueba nocturna: horas en responder</t>
        </is>
      </c>
      <c r="J4" s="16" t="inlineStr">
        <is>
          <t>Estado</t>
        </is>
      </c>
      <c r="K4" s="15" t="inlineStr">
        <is>
          <t>Último contacto</t>
        </is>
      </c>
      <c r="L4" s="16" t="inlineStr">
        <is>
          <t>Próximo paso</t>
        </is>
      </c>
      <c r="M4" s="15" t="inlineStr">
        <is>
          <t>Fecha próximo paso</t>
        </is>
      </c>
      <c r="N4" s="16" t="inlineStr">
        <is>
          <t>Notas y objeciones</t>
        </is>
      </c>
    </row>
    <row r="5" ht="20" customHeight="1">
      <c r="A5" s="17" t="n">
        <v>1</v>
      </c>
      <c r="B5" s="18" t="inlineStr">
        <is>
          <t>Hotel Ejemplo (borrar esta fila)</t>
        </is>
      </c>
      <c r="C5" s="18" t="inlineStr">
        <is>
          <t>Hotel</t>
        </is>
      </c>
      <c r="D5" s="18" t="inlineStr">
        <is>
          <t>Playa Grande</t>
        </is>
      </c>
      <c r="E5" s="19" t="n">
        <v>24</v>
      </c>
      <c r="F5" s="18" t="inlineStr">
        <is>
          <t>Laura Gómez</t>
        </is>
      </c>
      <c r="G5" s="18" t="inlineStr">
        <is>
          <t>Dueño</t>
        </is>
      </c>
      <c r="H5" s="18" t="inlineStr">
        <is>
          <t>+54 9 223 000-0000</t>
        </is>
      </c>
      <c r="I5" s="19" t="n">
        <v>9</v>
      </c>
      <c r="J5" s="18" t="inlineStr">
        <is>
          <t>Reunión agendada</t>
        </is>
      </c>
      <c r="K5" s="20" t="n">
        <v>46301</v>
      </c>
      <c r="L5" s="18" t="inlineStr">
        <is>
          <t>Reunión para mostrar la demo</t>
        </is>
      </c>
      <c r="M5" s="20" t="n">
        <v>46304</v>
      </c>
      <c r="N5" s="18" t="inlineStr">
        <is>
          <t>Recibe unas 25 consultas por día en enero. Duda: si los huéspedes aceptan hablar con un asistente.</t>
        </is>
      </c>
    </row>
    <row r="6" ht="20" customHeight="1">
      <c r="A6" s="17" t="n">
        <v>2</v>
      </c>
      <c r="B6" s="21" t="n"/>
      <c r="C6" s="21" t="n"/>
      <c r="D6" s="21" t="n"/>
      <c r="E6" s="22" t="n"/>
      <c r="F6" s="21" t="n"/>
      <c r="G6" s="21" t="n"/>
      <c r="H6" s="21" t="n"/>
      <c r="I6" s="22" t="n"/>
      <c r="J6" s="21" t="n"/>
      <c r="K6" s="23" t="n"/>
      <c r="L6" s="21" t="n"/>
      <c r="M6" s="23" t="n"/>
      <c r="N6" s="21" t="n"/>
    </row>
    <row r="7" ht="20" customHeight="1">
      <c r="A7" s="17" t="n">
        <v>3</v>
      </c>
      <c r="B7" s="21" t="n"/>
      <c r="C7" s="21" t="n"/>
      <c r="D7" s="21" t="n"/>
      <c r="E7" s="22" t="n"/>
      <c r="F7" s="21" t="n"/>
      <c r="G7" s="21" t="n"/>
      <c r="H7" s="21" t="n"/>
      <c r="I7" s="22" t="n"/>
      <c r="J7" s="21" t="n"/>
      <c r="K7" s="23" t="n"/>
      <c r="L7" s="21" t="n"/>
      <c r="M7" s="23" t="n"/>
      <c r="N7" s="21" t="n"/>
    </row>
    <row r="8" ht="20" customHeight="1">
      <c r="A8" s="17" t="n">
        <v>4</v>
      </c>
      <c r="B8" s="21" t="n"/>
      <c r="C8" s="21" t="n"/>
      <c r="D8" s="21" t="n"/>
      <c r="E8" s="22" t="n"/>
      <c r="F8" s="21" t="n"/>
      <c r="G8" s="21" t="n"/>
      <c r="H8" s="21" t="n"/>
      <c r="I8" s="22" t="n"/>
      <c r="J8" s="21" t="n"/>
      <c r="K8" s="23" t="n"/>
      <c r="L8" s="21" t="n"/>
      <c r="M8" s="23" t="n"/>
      <c r="N8" s="21" t="n"/>
    </row>
    <row r="9" ht="20" customHeight="1">
      <c r="A9" s="17" t="n">
        <v>5</v>
      </c>
      <c r="B9" s="21" t="n"/>
      <c r="C9" s="21" t="n"/>
      <c r="D9" s="21" t="n"/>
      <c r="E9" s="22" t="n"/>
      <c r="F9" s="21" t="n"/>
      <c r="G9" s="21" t="n"/>
      <c r="H9" s="21" t="n"/>
      <c r="I9" s="22" t="n"/>
      <c r="J9" s="21" t="n"/>
      <c r="K9" s="23" t="n"/>
      <c r="L9" s="21" t="n"/>
      <c r="M9" s="23" t="n"/>
      <c r="N9" s="21" t="n"/>
    </row>
    <row r="10" ht="20" customHeight="1">
      <c r="A10" s="17" t="n">
        <v>6</v>
      </c>
      <c r="B10" s="21" t="n"/>
      <c r="C10" s="21" t="n"/>
      <c r="D10" s="21" t="n"/>
      <c r="E10" s="22" t="n"/>
      <c r="F10" s="21" t="n"/>
      <c r="G10" s="21" t="n"/>
      <c r="H10" s="21" t="n"/>
      <c r="I10" s="22" t="n"/>
      <c r="J10" s="21" t="n"/>
      <c r="K10" s="23" t="n"/>
      <c r="L10" s="21" t="n"/>
      <c r="M10" s="23" t="n"/>
      <c r="N10" s="21" t="n"/>
    </row>
    <row r="11" ht="20" customHeight="1">
      <c r="A11" s="17" t="n">
        <v>7</v>
      </c>
      <c r="B11" s="21" t="n"/>
      <c r="C11" s="21" t="n"/>
      <c r="D11" s="21" t="n"/>
      <c r="E11" s="22" t="n"/>
      <c r="F11" s="21" t="n"/>
      <c r="G11" s="21" t="n"/>
      <c r="H11" s="21" t="n"/>
      <c r="I11" s="22" t="n"/>
      <c r="J11" s="21" t="n"/>
      <c r="K11" s="23" t="n"/>
      <c r="L11" s="21" t="n"/>
      <c r="M11" s="23" t="n"/>
      <c r="N11" s="21" t="n"/>
    </row>
    <row r="12" ht="20" customHeight="1">
      <c r="A12" s="17" t="n">
        <v>8</v>
      </c>
      <c r="B12" s="21" t="n"/>
      <c r="C12" s="21" t="n"/>
      <c r="D12" s="21" t="n"/>
      <c r="E12" s="22" t="n"/>
      <c r="F12" s="21" t="n"/>
      <c r="G12" s="21" t="n"/>
      <c r="H12" s="21" t="n"/>
      <c r="I12" s="22" t="n"/>
      <c r="J12" s="21" t="n"/>
      <c r="K12" s="23" t="n"/>
      <c r="L12" s="21" t="n"/>
      <c r="M12" s="23" t="n"/>
      <c r="N12" s="21" t="n"/>
    </row>
    <row r="13" ht="20" customHeight="1">
      <c r="A13" s="17" t="n">
        <v>9</v>
      </c>
      <c r="B13" s="21" t="n"/>
      <c r="C13" s="21" t="n"/>
      <c r="D13" s="21" t="n"/>
      <c r="E13" s="22" t="n"/>
      <c r="F13" s="21" t="n"/>
      <c r="G13" s="21" t="n"/>
      <c r="H13" s="21" t="n"/>
      <c r="I13" s="22" t="n"/>
      <c r="J13" s="21" t="n"/>
      <c r="K13" s="23" t="n"/>
      <c r="L13" s="21" t="n"/>
      <c r="M13" s="23" t="n"/>
      <c r="N13" s="21" t="n"/>
    </row>
    <row r="14" ht="20" customHeight="1">
      <c r="A14" s="17" t="n">
        <v>10</v>
      </c>
      <c r="B14" s="21" t="n"/>
      <c r="C14" s="21" t="n"/>
      <c r="D14" s="21" t="n"/>
      <c r="E14" s="22" t="n"/>
      <c r="F14" s="21" t="n"/>
      <c r="G14" s="21" t="n"/>
      <c r="H14" s="21" t="n"/>
      <c r="I14" s="22" t="n"/>
      <c r="J14" s="21" t="n"/>
      <c r="K14" s="23" t="n"/>
      <c r="L14" s="21" t="n"/>
      <c r="M14" s="23" t="n"/>
      <c r="N14" s="21" t="n"/>
    </row>
    <row r="15" ht="20" customHeight="1">
      <c r="A15" s="17" t="n">
        <v>11</v>
      </c>
      <c r="B15" s="21" t="n"/>
      <c r="C15" s="21" t="n"/>
      <c r="D15" s="21" t="n"/>
      <c r="E15" s="22" t="n"/>
      <c r="F15" s="21" t="n"/>
      <c r="G15" s="21" t="n"/>
      <c r="H15" s="21" t="n"/>
      <c r="I15" s="22" t="n"/>
      <c r="J15" s="21" t="n"/>
      <c r="K15" s="23" t="n"/>
      <c r="L15" s="21" t="n"/>
      <c r="M15" s="23" t="n"/>
      <c r="N15" s="21" t="n"/>
    </row>
    <row r="16" ht="20" customHeight="1">
      <c r="A16" s="17" t="n">
        <v>12</v>
      </c>
      <c r="B16" s="21" t="n"/>
      <c r="C16" s="21" t="n"/>
      <c r="D16" s="21" t="n"/>
      <c r="E16" s="22" t="n"/>
      <c r="F16" s="21" t="n"/>
      <c r="G16" s="21" t="n"/>
      <c r="H16" s="21" t="n"/>
      <c r="I16" s="22" t="n"/>
      <c r="J16" s="21" t="n"/>
      <c r="K16" s="23" t="n"/>
      <c r="L16" s="21" t="n"/>
      <c r="M16" s="23" t="n"/>
      <c r="N16" s="21" t="n"/>
    </row>
    <row r="17" ht="20" customHeight="1">
      <c r="A17" s="17" t="n">
        <v>13</v>
      </c>
      <c r="B17" s="21" t="n"/>
      <c r="C17" s="21" t="n"/>
      <c r="D17" s="21" t="n"/>
      <c r="E17" s="22" t="n"/>
      <c r="F17" s="21" t="n"/>
      <c r="G17" s="21" t="n"/>
      <c r="H17" s="21" t="n"/>
      <c r="I17" s="22" t="n"/>
      <c r="J17" s="21" t="n"/>
      <c r="K17" s="23" t="n"/>
      <c r="L17" s="21" t="n"/>
      <c r="M17" s="23" t="n"/>
      <c r="N17" s="21" t="n"/>
    </row>
    <row r="18" ht="20" customHeight="1">
      <c r="A18" s="17" t="n">
        <v>14</v>
      </c>
      <c r="B18" s="21" t="n"/>
      <c r="C18" s="21" t="n"/>
      <c r="D18" s="21" t="n"/>
      <c r="E18" s="22" t="n"/>
      <c r="F18" s="21" t="n"/>
      <c r="G18" s="21" t="n"/>
      <c r="H18" s="21" t="n"/>
      <c r="I18" s="22" t="n"/>
      <c r="J18" s="21" t="n"/>
      <c r="K18" s="23" t="n"/>
      <c r="L18" s="21" t="n"/>
      <c r="M18" s="23" t="n"/>
      <c r="N18" s="21" t="n"/>
    </row>
    <row r="19" ht="20" customHeight="1">
      <c r="A19" s="17" t="n">
        <v>15</v>
      </c>
      <c r="B19" s="21" t="n"/>
      <c r="C19" s="21" t="n"/>
      <c r="D19" s="21" t="n"/>
      <c r="E19" s="22" t="n"/>
      <c r="F19" s="21" t="n"/>
      <c r="G19" s="21" t="n"/>
      <c r="H19" s="21" t="n"/>
      <c r="I19" s="22" t="n"/>
      <c r="J19" s="21" t="n"/>
      <c r="K19" s="23" t="n"/>
      <c r="L19" s="21" t="n"/>
      <c r="M19" s="23" t="n"/>
      <c r="N19" s="21" t="n"/>
    </row>
    <row r="20" ht="20" customHeight="1">
      <c r="A20" s="17" t="n">
        <v>16</v>
      </c>
      <c r="B20" s="21" t="n"/>
      <c r="C20" s="21" t="n"/>
      <c r="D20" s="21" t="n"/>
      <c r="E20" s="22" t="n"/>
      <c r="F20" s="21" t="n"/>
      <c r="G20" s="21" t="n"/>
      <c r="H20" s="21" t="n"/>
      <c r="I20" s="22" t="n"/>
      <c r="J20" s="21" t="n"/>
      <c r="K20" s="23" t="n"/>
      <c r="L20" s="21" t="n"/>
      <c r="M20" s="23" t="n"/>
      <c r="N20" s="21" t="n"/>
    </row>
    <row r="21" ht="20" customHeight="1">
      <c r="A21" s="17" t="n">
        <v>17</v>
      </c>
      <c r="B21" s="21" t="n"/>
      <c r="C21" s="21" t="n"/>
      <c r="D21" s="21" t="n"/>
      <c r="E21" s="22" t="n"/>
      <c r="F21" s="21" t="n"/>
      <c r="G21" s="21" t="n"/>
      <c r="H21" s="21" t="n"/>
      <c r="I21" s="22" t="n"/>
      <c r="J21" s="21" t="n"/>
      <c r="K21" s="23" t="n"/>
      <c r="L21" s="21" t="n"/>
      <c r="M21" s="23" t="n"/>
      <c r="N21" s="21" t="n"/>
    </row>
    <row r="22" ht="20" customHeight="1">
      <c r="A22" s="17" t="n">
        <v>18</v>
      </c>
      <c r="B22" s="21" t="n"/>
      <c r="C22" s="21" t="n"/>
      <c r="D22" s="21" t="n"/>
      <c r="E22" s="22" t="n"/>
      <c r="F22" s="21" t="n"/>
      <c r="G22" s="21" t="n"/>
      <c r="H22" s="21" t="n"/>
      <c r="I22" s="22" t="n"/>
      <c r="J22" s="21" t="n"/>
      <c r="K22" s="23" t="n"/>
      <c r="L22" s="21" t="n"/>
      <c r="M22" s="23" t="n"/>
      <c r="N22" s="21" t="n"/>
    </row>
    <row r="23" ht="20" customHeight="1">
      <c r="A23" s="17" t="n">
        <v>19</v>
      </c>
      <c r="B23" s="21" t="n"/>
      <c r="C23" s="21" t="n"/>
      <c r="D23" s="21" t="n"/>
      <c r="E23" s="22" t="n"/>
      <c r="F23" s="21" t="n"/>
      <c r="G23" s="21" t="n"/>
      <c r="H23" s="21" t="n"/>
      <c r="I23" s="22" t="n"/>
      <c r="J23" s="21" t="n"/>
      <c r="K23" s="23" t="n"/>
      <c r="L23" s="21" t="n"/>
      <c r="M23" s="23" t="n"/>
      <c r="N23" s="21" t="n"/>
    </row>
    <row r="24" ht="20" customHeight="1">
      <c r="A24" s="17" t="n">
        <v>20</v>
      </c>
      <c r="B24" s="21" t="n"/>
      <c r="C24" s="21" t="n"/>
      <c r="D24" s="21" t="n"/>
      <c r="E24" s="22" t="n"/>
      <c r="F24" s="21" t="n"/>
      <c r="G24" s="21" t="n"/>
      <c r="H24" s="21" t="n"/>
      <c r="I24" s="22" t="n"/>
      <c r="J24" s="21" t="n"/>
      <c r="K24" s="23" t="n"/>
      <c r="L24" s="21" t="n"/>
      <c r="M24" s="23" t="n"/>
      <c r="N24" s="21" t="n"/>
    </row>
    <row r="25" ht="20" customHeight="1">
      <c r="A25" s="17" t="n">
        <v>21</v>
      </c>
      <c r="B25" s="21" t="n"/>
      <c r="C25" s="21" t="n"/>
      <c r="D25" s="21" t="n"/>
      <c r="E25" s="22" t="n"/>
      <c r="F25" s="21" t="n"/>
      <c r="G25" s="21" t="n"/>
      <c r="H25" s="21" t="n"/>
      <c r="I25" s="22" t="n"/>
      <c r="J25" s="21" t="n"/>
      <c r="K25" s="23" t="n"/>
      <c r="L25" s="21" t="n"/>
      <c r="M25" s="23" t="n"/>
      <c r="N25" s="21" t="n"/>
    </row>
    <row r="26" ht="20" customHeight="1">
      <c r="A26" s="17" t="n">
        <v>22</v>
      </c>
      <c r="B26" s="21" t="n"/>
      <c r="C26" s="21" t="n"/>
      <c r="D26" s="21" t="n"/>
      <c r="E26" s="22" t="n"/>
      <c r="F26" s="21" t="n"/>
      <c r="G26" s="21" t="n"/>
      <c r="H26" s="21" t="n"/>
      <c r="I26" s="22" t="n"/>
      <c r="J26" s="21" t="n"/>
      <c r="K26" s="23" t="n"/>
      <c r="L26" s="21" t="n"/>
      <c r="M26" s="23" t="n"/>
      <c r="N26" s="21" t="n"/>
    </row>
    <row r="27" ht="20" customHeight="1">
      <c r="A27" s="17" t="n">
        <v>23</v>
      </c>
      <c r="B27" s="21" t="n"/>
      <c r="C27" s="21" t="n"/>
      <c r="D27" s="21" t="n"/>
      <c r="E27" s="22" t="n"/>
      <c r="F27" s="21" t="n"/>
      <c r="G27" s="21" t="n"/>
      <c r="H27" s="21" t="n"/>
      <c r="I27" s="22" t="n"/>
      <c r="J27" s="21" t="n"/>
      <c r="K27" s="23" t="n"/>
      <c r="L27" s="21" t="n"/>
      <c r="M27" s="23" t="n"/>
      <c r="N27" s="21" t="n"/>
    </row>
    <row r="28" ht="20" customHeight="1">
      <c r="A28" s="17" t="n">
        <v>24</v>
      </c>
      <c r="B28" s="21" t="n"/>
      <c r="C28" s="21" t="n"/>
      <c r="D28" s="21" t="n"/>
      <c r="E28" s="22" t="n"/>
      <c r="F28" s="21" t="n"/>
      <c r="G28" s="21" t="n"/>
      <c r="H28" s="21" t="n"/>
      <c r="I28" s="22" t="n"/>
      <c r="J28" s="21" t="n"/>
      <c r="K28" s="23" t="n"/>
      <c r="L28" s="21" t="n"/>
      <c r="M28" s="23" t="n"/>
      <c r="N28" s="21" t="n"/>
    </row>
    <row r="29" ht="20" customHeight="1">
      <c r="A29" s="17" t="n">
        <v>25</v>
      </c>
      <c r="B29" s="21" t="n"/>
      <c r="C29" s="21" t="n"/>
      <c r="D29" s="21" t="n"/>
      <c r="E29" s="22" t="n"/>
      <c r="F29" s="21" t="n"/>
      <c r="G29" s="21" t="n"/>
      <c r="H29" s="21" t="n"/>
      <c r="I29" s="22" t="n"/>
      <c r="J29" s="21" t="n"/>
      <c r="K29" s="23" t="n"/>
      <c r="L29" s="21" t="n"/>
      <c r="M29" s="23" t="n"/>
      <c r="N29" s="21" t="n"/>
    </row>
    <row r="30" ht="20" customHeight="1">
      <c r="A30" s="17" t="n">
        <v>26</v>
      </c>
      <c r="B30" s="21" t="n"/>
      <c r="C30" s="21" t="n"/>
      <c r="D30" s="21" t="n"/>
      <c r="E30" s="22" t="n"/>
      <c r="F30" s="21" t="n"/>
      <c r="G30" s="21" t="n"/>
      <c r="H30" s="21" t="n"/>
      <c r="I30" s="22" t="n"/>
      <c r="J30" s="21" t="n"/>
      <c r="K30" s="23" t="n"/>
      <c r="L30" s="21" t="n"/>
      <c r="M30" s="23" t="n"/>
      <c r="N30" s="21" t="n"/>
    </row>
    <row r="31" ht="20" customHeight="1">
      <c r="A31" s="17" t="n">
        <v>27</v>
      </c>
      <c r="B31" s="21" t="n"/>
      <c r="C31" s="21" t="n"/>
      <c r="D31" s="21" t="n"/>
      <c r="E31" s="22" t="n"/>
      <c r="F31" s="21" t="n"/>
      <c r="G31" s="21" t="n"/>
      <c r="H31" s="21" t="n"/>
      <c r="I31" s="22" t="n"/>
      <c r="J31" s="21" t="n"/>
      <c r="K31" s="23" t="n"/>
      <c r="L31" s="21" t="n"/>
      <c r="M31" s="23" t="n"/>
      <c r="N31" s="21" t="n"/>
    </row>
    <row r="32" ht="20" customHeight="1">
      <c r="A32" s="17" t="n">
        <v>28</v>
      </c>
      <c r="B32" s="21" t="n"/>
      <c r="C32" s="21" t="n"/>
      <c r="D32" s="21" t="n"/>
      <c r="E32" s="22" t="n"/>
      <c r="F32" s="21" t="n"/>
      <c r="G32" s="21" t="n"/>
      <c r="H32" s="21" t="n"/>
      <c r="I32" s="22" t="n"/>
      <c r="J32" s="21" t="n"/>
      <c r="K32" s="23" t="n"/>
      <c r="L32" s="21" t="n"/>
      <c r="M32" s="23" t="n"/>
      <c r="N32" s="21" t="n"/>
    </row>
    <row r="33" ht="20" customHeight="1">
      <c r="A33" s="17" t="n">
        <v>29</v>
      </c>
      <c r="B33" s="21" t="n"/>
      <c r="C33" s="21" t="n"/>
      <c r="D33" s="21" t="n"/>
      <c r="E33" s="22" t="n"/>
      <c r="F33" s="21" t="n"/>
      <c r="G33" s="21" t="n"/>
      <c r="H33" s="21" t="n"/>
      <c r="I33" s="22" t="n"/>
      <c r="J33" s="21" t="n"/>
      <c r="K33" s="23" t="n"/>
      <c r="L33" s="21" t="n"/>
      <c r="M33" s="23" t="n"/>
      <c r="N33" s="21" t="n"/>
    </row>
    <row r="34" ht="20" customHeight="1">
      <c r="A34" s="17" t="n">
        <v>30</v>
      </c>
      <c r="B34" s="21" t="n"/>
      <c r="C34" s="21" t="n"/>
      <c r="D34" s="21" t="n"/>
      <c r="E34" s="22" t="n"/>
      <c r="F34" s="21" t="n"/>
      <c r="G34" s="21" t="n"/>
      <c r="H34" s="21" t="n"/>
      <c r="I34" s="22" t="n"/>
      <c r="J34" s="21" t="n"/>
      <c r="K34" s="23" t="n"/>
      <c r="L34" s="21" t="n"/>
      <c r="M34" s="23" t="n"/>
      <c r="N34" s="21" t="n"/>
    </row>
    <row r="35" ht="20" customHeight="1">
      <c r="A35" s="17" t="n">
        <v>31</v>
      </c>
      <c r="B35" s="21" t="n"/>
      <c r="C35" s="21" t="n"/>
      <c r="D35" s="21" t="n"/>
      <c r="E35" s="22" t="n"/>
      <c r="F35" s="21" t="n"/>
      <c r="G35" s="21" t="n"/>
      <c r="H35" s="21" t="n"/>
      <c r="I35" s="22" t="n"/>
      <c r="J35" s="21" t="n"/>
      <c r="K35" s="23" t="n"/>
      <c r="L35" s="21" t="n"/>
      <c r="M35" s="23" t="n"/>
      <c r="N35" s="21" t="n"/>
    </row>
  </sheetData>
  <autoFilter ref="A4:N35"/>
  <conditionalFormatting sqref="J5:J35">
    <cfRule type="expression" priority="1" dxfId="0">
      <formula>$J5="Por contactar"</formula>
    </cfRule>
    <cfRule type="expression" priority="2" dxfId="1">
      <formula>$J5="Contactado"</formula>
    </cfRule>
    <cfRule type="expression" priority="3" dxfId="2">
      <formula>$J5="Reunión agendada"</formula>
    </cfRule>
    <cfRule type="expression" priority="4" dxfId="3">
      <formula>$J5="Reunión hecha"</formula>
    </cfRule>
    <cfRule type="expression" priority="5" dxfId="4">
      <formula>$J5="Piloto en curso"</formula>
    </cfRule>
    <cfRule type="expression" priority="6" dxfId="5">
      <formula>$J5="Cliente (abono)"</formula>
    </cfRule>
    <cfRule type="expression" priority="7" dxfId="6">
      <formula>$J5="Más adelante"</formula>
    </cfRule>
    <cfRule type="expression" priority="8" dxfId="7">
      <formula>$J5="Descartado"</formula>
    </cfRule>
  </conditionalFormatting>
  <conditionalFormatting sqref="M5:M35">
    <cfRule type="expression" priority="9" dxfId="8">
      <formula>AND($M5&lt;&gt;"",$M5&lt;TODAY(),$J5&lt;&gt;"Cliente (abono)",$J5&lt;&gt;"Descartado")</formula>
    </cfRule>
  </conditionalFormatting>
  <conditionalFormatting sqref="I5:I35">
    <cfRule type="expression" priority="10" dxfId="9">
      <formula>AND($I5&lt;&gt;"",$I5&gt;=3)</formula>
    </cfRule>
  </conditionalFormatting>
  <dataValidations count="8">
    <dataValidation sqref="C5:C35" showDropDown="0" showInputMessage="0" showErrorMessage="0" allowBlank="1" errorTitle="Tipo" error="Elegí una opción de la lista" type="list">
      <formula1>Listas!$A$2:$A$6</formula1>
    </dataValidation>
    <dataValidation sqref="D5:D35" showDropDown="0" showInputMessage="0" showErrorMessage="0" allowBlank="1" errorTitle="Zona" error="Elegí una opción de la lista" type="list">
      <formula1>Listas!$B$2:$B$12</formula1>
    </dataValidation>
    <dataValidation sqref="G5:G35" showDropDown="0" showInputMessage="0" showErrorMessage="0" allowBlank="1" errorTitle="Rol" error="Elegí una opción de la lista" type="list">
      <formula1>Listas!$C$2:$C$5</formula1>
    </dataValidation>
    <dataValidation sqref="J5:J35" showDropDown="0" showInputMessage="0" showErrorMessage="0" allowBlank="1" errorTitle="Estado" error="Elegí una opción de la lista" type="list">
      <formula1>Listas!$D$2:$D$9</formula1>
    </dataValidation>
    <dataValidation sqref="E5:E35" showDropDown="0" showInputMessage="0" showErrorMessage="0" allowBlank="1" error="Ingresá un número" type="decimal" operator="between">
      <formula1>0</formula1>
      <formula2>1000</formula2>
    </dataValidation>
    <dataValidation sqref="I5:I35" showDropDown="0" showInputMessage="0" showErrorMessage="0" allowBlank="1" error="Ingresá un número" type="decimal" operator="between">
      <formula1>0</formula1>
      <formula2>1000</formula2>
    </dataValidation>
    <dataValidation sqref="K5:K35" showDropDown="0" showInputMessage="0" showErrorMessage="0" allowBlank="1" error="Ingresá una fecha (dd/mm/aaaa)" type="date" operator="greaterThan">
      <formula1>DATE(2020,1,1)</formula1>
    </dataValidation>
    <dataValidation sqref="M5:M35" showDropDown="0" showInputMessage="0" showErrorMessage="0" allowBlank="1" error="Ingresá una fecha (dd/mm/aaaa)" type="date" operator="greaterThan">
      <formula1>DATE(2020,1,1)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4" t="inlineStr">
        <is>
          <t>Tipo</t>
        </is>
      </c>
      <c r="B1" s="24" t="inlineStr">
        <is>
          <t>Zona</t>
        </is>
      </c>
      <c r="C1" s="24" t="inlineStr">
        <is>
          <t>Rol</t>
        </is>
      </c>
      <c r="D1" s="24" t="inlineStr">
        <is>
          <t>Estado</t>
        </is>
      </c>
    </row>
    <row r="2">
      <c r="A2" s="25" t="inlineStr">
        <is>
          <t>Hotel</t>
        </is>
      </c>
      <c r="B2" s="25" t="inlineStr">
        <is>
          <t>Centro</t>
        </is>
      </c>
      <c r="C2" s="25" t="inlineStr">
        <is>
          <t>Dueño</t>
        </is>
      </c>
      <c r="D2" s="25" t="inlineStr">
        <is>
          <t>Por contactar</t>
        </is>
      </c>
    </row>
    <row r="3">
      <c r="A3" s="25" t="inlineStr">
        <is>
          <t>Apart hotel</t>
        </is>
      </c>
      <c r="B3" s="25" t="inlineStr">
        <is>
          <t>La Perla</t>
        </is>
      </c>
      <c r="C3" s="25" t="inlineStr">
        <is>
          <t>Encargado</t>
        </is>
      </c>
      <c r="D3" s="25" t="inlineStr">
        <is>
          <t>Contactado</t>
        </is>
      </c>
    </row>
    <row r="4">
      <c r="A4" s="25" t="inlineStr">
        <is>
          <t>Hostel</t>
        </is>
      </c>
      <c r="B4" s="25" t="inlineStr">
        <is>
          <t>Playa Grande</t>
        </is>
      </c>
      <c r="C4" s="25" t="inlineStr">
        <is>
          <t>Recepción</t>
        </is>
      </c>
      <c r="D4" s="25" t="inlineStr">
        <is>
          <t>Reunión agendada</t>
        </is>
      </c>
    </row>
    <row r="5">
      <c r="A5" s="25" t="inlineStr">
        <is>
          <t>Alquiler temporario</t>
        </is>
      </c>
      <c r="B5" s="25" t="inlineStr">
        <is>
          <t>Güemes</t>
        </is>
      </c>
      <c r="C5" s="25" t="inlineStr">
        <is>
          <t>Otro</t>
        </is>
      </c>
      <c r="D5" s="25" t="inlineStr">
        <is>
          <t>Reunión hecha</t>
        </is>
      </c>
    </row>
    <row r="6">
      <c r="A6" s="25" t="inlineStr">
        <is>
          <t>Otro</t>
        </is>
      </c>
      <c r="B6" s="25" t="inlineStr">
        <is>
          <t>Los Troncos</t>
        </is>
      </c>
      <c r="D6" s="25" t="inlineStr">
        <is>
          <t>Piloto en curso</t>
        </is>
      </c>
    </row>
    <row r="7">
      <c r="B7" s="25" t="inlineStr">
        <is>
          <t>Varese</t>
        </is>
      </c>
      <c r="D7" s="25" t="inlineStr">
        <is>
          <t>Cliente (abono)</t>
        </is>
      </c>
    </row>
    <row r="8">
      <c r="B8" s="25" t="inlineStr">
        <is>
          <t>Constitución</t>
        </is>
      </c>
      <c r="D8" s="25" t="inlineStr">
        <is>
          <t>Más adelante</t>
        </is>
      </c>
    </row>
    <row r="9">
      <c r="B9" s="25" t="inlineStr">
        <is>
          <t>Punta Mogotes</t>
        </is>
      </c>
      <c r="D9" s="25" t="inlineStr">
        <is>
          <t>Descartado</t>
        </is>
      </c>
    </row>
    <row r="10">
      <c r="B10" s="25" t="inlineStr">
        <is>
          <t>Chauvín</t>
        </is>
      </c>
    </row>
    <row r="11">
      <c r="B11" s="25" t="inlineStr">
        <is>
          <t>Sierra de los Padres</t>
        </is>
      </c>
    </row>
    <row r="12">
      <c r="B12" s="25" t="inlineStr">
        <is>
          <t>Otra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2026-10-06T00:50:20Z</dcterms:created>
  <dcterms:modified xsi:type="dcterms:W3CDTF">2026-10-06T00:50:20Z</dcterms:modified>
</cp:coreProperties>
</file>